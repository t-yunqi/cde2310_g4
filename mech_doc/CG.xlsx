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8_{77DF7CA9-2B6C-45C1-8D8C-D6759B3E2583}" xr6:coauthVersionLast="47" xr6:coauthVersionMax="47" xr10:uidLastSave="{00000000-0000-0000-0000-000000000000}"/>
  <bookViews>
    <workbookView xWindow="4650" yWindow="1770" windowWidth="20423" windowHeight="13942" xr2:uid="{7482D6BE-36BE-4B9F-A3F8-80DFFB1A01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F36" i="1"/>
  <c r="F37" i="1"/>
  <c r="E45" i="1"/>
  <c r="H42" i="1"/>
  <c r="H43" i="1"/>
  <c r="H44" i="1"/>
  <c r="G42" i="1"/>
  <c r="G43" i="1"/>
  <c r="G44" i="1"/>
  <c r="F42" i="1"/>
  <c r="F43" i="1"/>
  <c r="F44" i="1"/>
  <c r="H39" i="1"/>
  <c r="H40" i="1"/>
  <c r="H41" i="1"/>
  <c r="G39" i="1"/>
  <c r="G40" i="1"/>
  <c r="G41" i="1"/>
  <c r="F39" i="1"/>
  <c r="F40" i="1"/>
  <c r="F41" i="1"/>
  <c r="G51" i="1"/>
  <c r="F28" i="1"/>
  <c r="F29" i="1"/>
  <c r="F30" i="1"/>
  <c r="F31" i="1"/>
  <c r="F32" i="1"/>
  <c r="F33" i="1"/>
  <c r="F34" i="1"/>
  <c r="F35" i="1"/>
  <c r="G28" i="1"/>
  <c r="G29" i="1"/>
  <c r="G30" i="1"/>
  <c r="G31" i="1"/>
  <c r="G32" i="1"/>
  <c r="G33" i="1"/>
  <c r="G34" i="1"/>
  <c r="G35" i="1"/>
  <c r="H28" i="1"/>
  <c r="H29" i="1"/>
  <c r="H30" i="1"/>
  <c r="H31" i="1"/>
  <c r="H32" i="1"/>
  <c r="H33" i="1"/>
  <c r="H34" i="1"/>
  <c r="H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8" i="1"/>
  <c r="G2" i="1"/>
  <c r="F2" i="1"/>
  <c r="H51" i="1" l="1"/>
  <c r="F51" i="1"/>
</calcChain>
</file>

<file path=xl/sharedStrings.xml><?xml version="1.0" encoding="utf-8"?>
<sst xmlns="http://schemas.openxmlformats.org/spreadsheetml/2006/main" count="73" uniqueCount="70">
  <si>
    <t>S/No.</t>
  </si>
  <si>
    <t>Part</t>
  </si>
  <si>
    <t>Qty</t>
  </si>
  <si>
    <t>Weight (kg)/unit</t>
  </si>
  <si>
    <t>Total Weight (kg)</t>
  </si>
  <si>
    <t>CGX</t>
  </si>
  <si>
    <t>CGY</t>
  </si>
  <si>
    <t>CGZ</t>
  </si>
  <si>
    <t>X</t>
  </si>
  <si>
    <t>Y</t>
  </si>
  <si>
    <t>Z</t>
  </si>
  <si>
    <t>Remarks</t>
  </si>
  <si>
    <t>LiDAR</t>
  </si>
  <si>
    <t>Wheel &amp; Tire 1</t>
  </si>
  <si>
    <t>Wheel &amp; Tire 2</t>
  </si>
  <si>
    <t>Battery</t>
  </si>
  <si>
    <t>Raspberry Pi</t>
  </si>
  <si>
    <t>Waffle Plate 1</t>
  </si>
  <si>
    <t>Waffle Plate 2</t>
  </si>
  <si>
    <t>Waffle Plate 3</t>
  </si>
  <si>
    <t>Waffle Plate 4</t>
  </si>
  <si>
    <t>OpenCR</t>
  </si>
  <si>
    <t>Motor 1</t>
  </si>
  <si>
    <t>Motor 2</t>
  </si>
  <si>
    <t>Support Pillar 1.1</t>
  </si>
  <si>
    <t>Support Pillar 1.2</t>
  </si>
  <si>
    <t>Support Pillar 1.3</t>
  </si>
  <si>
    <t>Support Pillar 1.4</t>
  </si>
  <si>
    <t>Support Pillar 2.1</t>
  </si>
  <si>
    <t>Support Pillar 2.2</t>
  </si>
  <si>
    <t>Support Pillar 2.3</t>
  </si>
  <si>
    <t>Support Pillar 2.4</t>
  </si>
  <si>
    <t>Support Pillar 3.1</t>
  </si>
  <si>
    <t>Support Pillar 3.2</t>
  </si>
  <si>
    <t>Support Pillar 3.3</t>
  </si>
  <si>
    <t>Support Pillar 3.4</t>
  </si>
  <si>
    <t>Support Pillar 3.5</t>
  </si>
  <si>
    <t>Support Pillar 3.6</t>
  </si>
  <si>
    <t>Support Pillar 4.1.1</t>
  </si>
  <si>
    <t>Support Pillar 4.1.2</t>
  </si>
  <si>
    <t>Support Pillar 4.2.1</t>
  </si>
  <si>
    <t>Support Pillar 4.2.2</t>
  </si>
  <si>
    <t>Support Pillar 4.3.1</t>
  </si>
  <si>
    <t>Support Pillar 4.3.2</t>
  </si>
  <si>
    <t>Support Pillar 4.4.1</t>
  </si>
  <si>
    <t>Support Pillar 4.4.2</t>
  </si>
  <si>
    <t>Ball Caster</t>
  </si>
  <si>
    <t>Servo and Mount 1</t>
  </si>
  <si>
    <t>Servo and Mount 2</t>
  </si>
  <si>
    <t>Ball Holder Ramp</t>
  </si>
  <si>
    <t>Ball Holding Area</t>
  </si>
  <si>
    <t>Ball Deposit Ramp</t>
  </si>
  <si>
    <t>Waffle Plate 5</t>
  </si>
  <si>
    <t>Total Weight</t>
  </si>
  <si>
    <t>Turtlebot</t>
  </si>
  <si>
    <t>Name</t>
  </si>
  <si>
    <t>Matric No.</t>
  </si>
  <si>
    <t>Total CG</t>
  </si>
  <si>
    <t>Layog Ethan Andrei Belo</t>
  </si>
  <si>
    <t>A0282414J</t>
  </si>
  <si>
    <t>Chua Wei Jack</t>
  </si>
  <si>
    <t>A0325536A</t>
  </si>
  <si>
    <t>Viswanathan Sahanaa</t>
  </si>
  <si>
    <t>A0300875E</t>
  </si>
  <si>
    <t>Chin Yan Xu</t>
  </si>
  <si>
    <t>A0252820M</t>
  </si>
  <si>
    <t>Tan Yun Qi</t>
  </si>
  <si>
    <t>A0302913N</t>
  </si>
  <si>
    <t>Camera and Mount Assembly High</t>
  </si>
  <si>
    <t>Camera and Mount Assembly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</si>
</sst>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271849</xdr:colOff>
      <xdr:row>2</xdr:row>
      <xdr:rowOff>15240</xdr:rowOff>
    </xdr:from>
    <xdr:to>
      <xdr:col>18</xdr:col>
      <xdr:colOff>410228</xdr:colOff>
      <xdr:row>23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F0A72-442C-C710-FCFA-F216D298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79289" y="381000"/>
          <a:ext cx="4405579" cy="3893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B073-585E-4DE7-920A-1F2F820ABC0E}">
  <dimension ref="A1:L59"/>
  <sheetViews>
    <sheetView tabSelected="1" zoomScale="70" zoomScaleNormal="70" workbookViewId="0">
      <selection activeCell="L45" sqref="L45"/>
    </sheetView>
  </sheetViews>
  <sheetFormatPr defaultRowHeight="15" customHeight="1" x14ac:dyDescent="0.45"/>
  <cols>
    <col min="2" max="2" width="30.33203125" customWidth="1"/>
    <col min="3" max="3" width="11.46484375" customWidth="1"/>
    <col min="4" max="4" width="17.6640625" customWidth="1"/>
    <col min="5" max="5" width="17.53125" customWidth="1"/>
    <col min="6" max="8" width="25.53125" customWidth="1"/>
    <col min="9" max="9" width="12.6640625" customWidth="1"/>
    <col min="10" max="10" width="12.1328125" customWidth="1"/>
    <col min="11" max="11" width="14" customWidth="1"/>
  </cols>
  <sheetData>
    <row r="1" spans="1:12" ht="14.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25" x14ac:dyDescent="0.45">
      <c r="A2" s="1">
        <v>1</v>
      </c>
      <c r="B2" s="1" t="s">
        <v>12</v>
      </c>
      <c r="C2" s="1">
        <v>1</v>
      </c>
      <c r="D2" s="1">
        <v>0.13100000000000001</v>
      </c>
      <c r="E2" s="1">
        <v>0.13100000000000001</v>
      </c>
      <c r="F2" s="1">
        <f t="shared" ref="F2:F27" si="0">PRODUCT(D2,I2)</f>
        <v>0</v>
      </c>
      <c r="G2" s="1">
        <f t="shared" ref="G2:G27" si="1">PRODUCT(J2,D2)</f>
        <v>0</v>
      </c>
      <c r="H2" s="1">
        <f t="shared" ref="H2:H27" si="2">PRODUCT(K2,E2)</f>
        <v>21.615000000000002</v>
      </c>
      <c r="I2" s="1">
        <v>0</v>
      </c>
      <c r="J2" s="1">
        <v>0</v>
      </c>
      <c r="K2" s="1">
        <v>165</v>
      </c>
      <c r="L2" s="1"/>
    </row>
    <row r="3" spans="1:12" ht="14.25" x14ac:dyDescent="0.45">
      <c r="A3" s="1">
        <v>2</v>
      </c>
      <c r="B3" s="1" t="s">
        <v>13</v>
      </c>
      <c r="C3" s="1">
        <v>1</v>
      </c>
      <c r="D3" s="1">
        <v>2.75E-2</v>
      </c>
      <c r="E3" s="1">
        <v>2.75E-2</v>
      </c>
      <c r="F3" s="1">
        <f t="shared" si="0"/>
        <v>0.82499999999999996</v>
      </c>
      <c r="G3" s="1">
        <f t="shared" si="1"/>
        <v>2.4750000000000001</v>
      </c>
      <c r="H3" s="1">
        <f t="shared" si="2"/>
        <v>0.6875</v>
      </c>
      <c r="I3" s="1">
        <v>30</v>
      </c>
      <c r="J3" s="1">
        <v>90</v>
      </c>
      <c r="K3" s="1">
        <v>25</v>
      </c>
      <c r="L3" s="1"/>
    </row>
    <row r="4" spans="1:12" ht="14.25" x14ac:dyDescent="0.45">
      <c r="A4" s="1">
        <v>3</v>
      </c>
      <c r="B4" s="1" t="s">
        <v>14</v>
      </c>
      <c r="C4" s="1">
        <v>1</v>
      </c>
      <c r="D4" s="1">
        <v>2.75E-2</v>
      </c>
      <c r="E4" s="1">
        <v>2.75E-2</v>
      </c>
      <c r="F4" s="1">
        <f t="shared" si="0"/>
        <v>0.82499999999999996</v>
      </c>
      <c r="G4" s="1">
        <f t="shared" si="1"/>
        <v>-2.4750000000000001</v>
      </c>
      <c r="H4" s="1">
        <f t="shared" si="2"/>
        <v>0.6875</v>
      </c>
      <c r="I4" s="1">
        <v>30</v>
      </c>
      <c r="J4" s="1">
        <v>-90</v>
      </c>
      <c r="K4" s="1">
        <v>25</v>
      </c>
      <c r="L4" s="1"/>
    </row>
    <row r="5" spans="1:12" ht="14.25" x14ac:dyDescent="0.45">
      <c r="A5" s="1">
        <v>4</v>
      </c>
      <c r="B5" s="1" t="s">
        <v>15</v>
      </c>
      <c r="C5" s="1">
        <v>1</v>
      </c>
      <c r="D5" s="1">
        <v>0.14099999999999999</v>
      </c>
      <c r="E5" s="1">
        <v>0.14099999999999999</v>
      </c>
      <c r="F5" s="1">
        <f t="shared" si="0"/>
        <v>0</v>
      </c>
      <c r="G5" s="1">
        <f t="shared" si="1"/>
        <v>0</v>
      </c>
      <c r="H5" s="1">
        <f t="shared" si="2"/>
        <v>1.7624999999999997</v>
      </c>
      <c r="I5" s="1">
        <v>0</v>
      </c>
      <c r="J5" s="1">
        <v>0</v>
      </c>
      <c r="K5" s="1">
        <v>12.5</v>
      </c>
      <c r="L5" s="1"/>
    </row>
    <row r="6" spans="1:12" ht="14.25" x14ac:dyDescent="0.45">
      <c r="A6" s="1">
        <v>5</v>
      </c>
      <c r="B6" s="1" t="s">
        <v>16</v>
      </c>
      <c r="C6" s="1">
        <v>1</v>
      </c>
      <c r="D6" s="1">
        <v>4.5999999999999999E-2</v>
      </c>
      <c r="E6" s="1">
        <v>4.5999999999999999E-2</v>
      </c>
      <c r="F6" s="1">
        <f t="shared" si="0"/>
        <v>-1.38</v>
      </c>
      <c r="G6" s="1">
        <f t="shared" si="1"/>
        <v>0.91999999999999993</v>
      </c>
      <c r="H6" s="1">
        <f t="shared" si="2"/>
        <v>5.52</v>
      </c>
      <c r="I6" s="1">
        <v>-30</v>
      </c>
      <c r="J6" s="1">
        <v>20</v>
      </c>
      <c r="K6" s="1">
        <v>120</v>
      </c>
      <c r="L6" s="1"/>
    </row>
    <row r="7" spans="1:12" ht="14.25" x14ac:dyDescent="0.45">
      <c r="A7" s="1">
        <v>6</v>
      </c>
      <c r="B7" s="1" t="s">
        <v>17</v>
      </c>
      <c r="C7" s="1">
        <v>1</v>
      </c>
      <c r="D7" s="1">
        <v>9.9000000000000005E-2</v>
      </c>
      <c r="E7" s="1">
        <v>9.9000000000000005E-2</v>
      </c>
      <c r="F7" s="1">
        <f t="shared" si="0"/>
        <v>0</v>
      </c>
      <c r="G7" s="1">
        <f t="shared" si="1"/>
        <v>0</v>
      </c>
      <c r="H7" s="1">
        <f t="shared" si="2"/>
        <v>0.495</v>
      </c>
      <c r="I7" s="1">
        <v>0</v>
      </c>
      <c r="J7" s="1">
        <v>0</v>
      </c>
      <c r="K7" s="1">
        <v>5</v>
      </c>
      <c r="L7" s="1"/>
    </row>
    <row r="8" spans="1:12" ht="14.25" x14ac:dyDescent="0.45">
      <c r="A8" s="1">
        <v>7</v>
      </c>
      <c r="B8" s="1" t="s">
        <v>18</v>
      </c>
      <c r="C8" s="1">
        <v>1</v>
      </c>
      <c r="D8" s="1">
        <v>9.9000000000000005E-2</v>
      </c>
      <c r="E8" s="1">
        <v>9.9000000000000005E-2</v>
      </c>
      <c r="F8" s="1">
        <f t="shared" si="0"/>
        <v>0</v>
      </c>
      <c r="G8" s="1">
        <f t="shared" si="1"/>
        <v>0</v>
      </c>
      <c r="H8" s="1">
        <f t="shared" si="2"/>
        <v>4.1580000000000004</v>
      </c>
      <c r="I8" s="1">
        <v>0</v>
      </c>
      <c r="J8" s="1">
        <v>0</v>
      </c>
      <c r="K8" s="1">
        <v>42</v>
      </c>
      <c r="L8" s="1"/>
    </row>
    <row r="9" spans="1:12" ht="14.25" x14ac:dyDescent="0.45">
      <c r="A9" s="1">
        <v>8</v>
      </c>
      <c r="B9" s="1" t="s">
        <v>19</v>
      </c>
      <c r="C9" s="1">
        <v>1</v>
      </c>
      <c r="D9" s="1">
        <v>9.9000000000000005E-2</v>
      </c>
      <c r="E9" s="1">
        <v>9.9000000000000005E-2</v>
      </c>
      <c r="F9" s="1">
        <f t="shared" si="0"/>
        <v>0</v>
      </c>
      <c r="G9" s="1">
        <f t="shared" si="1"/>
        <v>0</v>
      </c>
      <c r="H9" s="1">
        <f t="shared" si="2"/>
        <v>8.91</v>
      </c>
      <c r="I9" s="1">
        <v>0</v>
      </c>
      <c r="J9" s="1">
        <v>0</v>
      </c>
      <c r="K9" s="1">
        <v>90</v>
      </c>
      <c r="L9" s="1"/>
    </row>
    <row r="10" spans="1:12" ht="14.25" x14ac:dyDescent="0.45">
      <c r="A10" s="1">
        <v>9</v>
      </c>
      <c r="B10" s="1" t="s">
        <v>20</v>
      </c>
      <c r="C10" s="1">
        <v>1</v>
      </c>
      <c r="D10" s="1">
        <v>9.9000000000000005E-2</v>
      </c>
      <c r="E10" s="1">
        <v>9.9000000000000005E-2</v>
      </c>
      <c r="F10" s="1">
        <f t="shared" si="0"/>
        <v>0</v>
      </c>
      <c r="G10" s="1">
        <f t="shared" si="1"/>
        <v>0</v>
      </c>
      <c r="H10" s="1">
        <f t="shared" si="2"/>
        <v>13.959000000000001</v>
      </c>
      <c r="I10" s="1">
        <v>0</v>
      </c>
      <c r="J10" s="1">
        <v>0</v>
      </c>
      <c r="K10" s="1">
        <v>141</v>
      </c>
      <c r="L10" s="1"/>
    </row>
    <row r="11" spans="1:12" ht="14.25" x14ac:dyDescent="0.45">
      <c r="A11" s="1">
        <v>10</v>
      </c>
      <c r="B11" s="1" t="s">
        <v>21</v>
      </c>
      <c r="C11" s="1">
        <v>1</v>
      </c>
      <c r="D11" s="1">
        <v>0.06</v>
      </c>
      <c r="E11" s="1">
        <v>0.06</v>
      </c>
      <c r="F11" s="1">
        <f t="shared" si="0"/>
        <v>0</v>
      </c>
      <c r="G11" s="1">
        <f t="shared" si="1"/>
        <v>0</v>
      </c>
      <c r="H11" s="1">
        <f t="shared" si="2"/>
        <v>3.9</v>
      </c>
      <c r="I11" s="1">
        <v>0</v>
      </c>
      <c r="J11" s="1">
        <v>0</v>
      </c>
      <c r="K11" s="1">
        <v>65</v>
      </c>
      <c r="L11" s="1"/>
    </row>
    <row r="12" spans="1:12" ht="14.25" x14ac:dyDescent="0.45">
      <c r="A12" s="1">
        <v>11</v>
      </c>
      <c r="B12" s="1" t="s">
        <v>22</v>
      </c>
      <c r="C12" s="1">
        <v>1</v>
      </c>
      <c r="D12" s="1">
        <v>5.7200000000000001E-2</v>
      </c>
      <c r="E12" s="1">
        <v>5.7200000000000001E-2</v>
      </c>
      <c r="F12" s="1">
        <f t="shared" si="0"/>
        <v>1.716</v>
      </c>
      <c r="G12" s="1">
        <f t="shared" si="1"/>
        <v>3.1459999999999999</v>
      </c>
      <c r="H12" s="1">
        <f t="shared" si="2"/>
        <v>3.718</v>
      </c>
      <c r="I12" s="1">
        <v>30</v>
      </c>
      <c r="J12" s="1">
        <v>55</v>
      </c>
      <c r="K12" s="1">
        <v>65</v>
      </c>
      <c r="L12" s="1"/>
    </row>
    <row r="13" spans="1:12" ht="14.25" x14ac:dyDescent="0.45">
      <c r="A13" s="1">
        <v>12</v>
      </c>
      <c r="B13" s="1" t="s">
        <v>23</v>
      </c>
      <c r="C13" s="1">
        <v>1</v>
      </c>
      <c r="D13" s="1">
        <v>5.7200000000000001E-2</v>
      </c>
      <c r="E13" s="1">
        <v>5.7200000000000001E-2</v>
      </c>
      <c r="F13" s="1">
        <f t="shared" si="0"/>
        <v>1.716</v>
      </c>
      <c r="G13" s="1">
        <f t="shared" si="1"/>
        <v>-3.1459999999999999</v>
      </c>
      <c r="H13" s="1">
        <f t="shared" si="2"/>
        <v>3.718</v>
      </c>
      <c r="I13" s="1">
        <v>30</v>
      </c>
      <c r="J13" s="1">
        <v>-55</v>
      </c>
      <c r="K13" s="1">
        <v>65</v>
      </c>
      <c r="L13" s="1"/>
    </row>
    <row r="14" spans="1:12" ht="14.25" x14ac:dyDescent="0.45">
      <c r="A14" s="1">
        <v>13</v>
      </c>
      <c r="B14" s="1" t="s">
        <v>24</v>
      </c>
      <c r="C14" s="1">
        <v>1</v>
      </c>
      <c r="D14" s="1">
        <v>4.9399999999999999E-3</v>
      </c>
      <c r="E14" s="1">
        <v>4.9399999999999999E-3</v>
      </c>
      <c r="F14" s="1">
        <f t="shared" si="0"/>
        <v>0.3211</v>
      </c>
      <c r="G14" s="1">
        <f t="shared" si="1"/>
        <v>0.1235</v>
      </c>
      <c r="H14" s="1">
        <f t="shared" si="2"/>
        <v>0.1235</v>
      </c>
      <c r="I14" s="1">
        <v>65</v>
      </c>
      <c r="J14" s="1">
        <v>25</v>
      </c>
      <c r="K14" s="1">
        <v>25</v>
      </c>
      <c r="L14" s="1"/>
    </row>
    <row r="15" spans="1:12" ht="14.25" x14ac:dyDescent="0.45">
      <c r="A15" s="1">
        <v>14</v>
      </c>
      <c r="B15" s="1" t="s">
        <v>25</v>
      </c>
      <c r="C15" s="1">
        <v>1</v>
      </c>
      <c r="D15" s="1">
        <v>4.9399999999999999E-3</v>
      </c>
      <c r="E15" s="1">
        <v>4.9399999999999999E-3</v>
      </c>
      <c r="F15" s="1">
        <f t="shared" si="0"/>
        <v>0.3211</v>
      </c>
      <c r="G15" s="1">
        <f t="shared" si="1"/>
        <v>-0.1235</v>
      </c>
      <c r="H15" s="1">
        <f t="shared" si="2"/>
        <v>0.1235</v>
      </c>
      <c r="I15" s="1">
        <v>65</v>
      </c>
      <c r="J15" s="1">
        <v>-25</v>
      </c>
      <c r="K15" s="1">
        <v>25</v>
      </c>
      <c r="L15" s="1"/>
    </row>
    <row r="16" spans="1:12" ht="14.25" x14ac:dyDescent="0.45">
      <c r="A16" s="1">
        <v>15</v>
      </c>
      <c r="B16" s="1" t="s">
        <v>26</v>
      </c>
      <c r="C16" s="1">
        <v>1</v>
      </c>
      <c r="D16" s="1">
        <v>4.9399999999999999E-3</v>
      </c>
      <c r="E16" s="1">
        <v>4.9399999999999999E-3</v>
      </c>
      <c r="F16" s="1">
        <f t="shared" si="0"/>
        <v>-0.3211</v>
      </c>
      <c r="G16" s="1">
        <f t="shared" si="1"/>
        <v>0.1235</v>
      </c>
      <c r="H16" s="1">
        <f t="shared" si="2"/>
        <v>0.1235</v>
      </c>
      <c r="I16" s="1">
        <v>-65</v>
      </c>
      <c r="J16" s="1">
        <v>25</v>
      </c>
      <c r="K16" s="1">
        <v>25</v>
      </c>
      <c r="L16" s="1"/>
    </row>
    <row r="17" spans="1:12" ht="14.25" x14ac:dyDescent="0.45">
      <c r="A17" s="1">
        <v>16</v>
      </c>
      <c r="B17" s="1" t="s">
        <v>27</v>
      </c>
      <c r="C17" s="1">
        <v>1</v>
      </c>
      <c r="D17" s="1">
        <v>4.9399999999999999E-3</v>
      </c>
      <c r="E17" s="1">
        <v>4.9399999999999999E-3</v>
      </c>
      <c r="F17" s="1">
        <f t="shared" si="0"/>
        <v>-0.3211</v>
      </c>
      <c r="G17" s="1">
        <f t="shared" si="1"/>
        <v>-0.1235</v>
      </c>
      <c r="H17" s="1">
        <f t="shared" si="2"/>
        <v>0.1235</v>
      </c>
      <c r="I17" s="1">
        <v>-65</v>
      </c>
      <c r="J17" s="1">
        <v>-25</v>
      </c>
      <c r="K17" s="1">
        <v>25</v>
      </c>
      <c r="L17" s="1"/>
    </row>
    <row r="18" spans="1:12" ht="14.25" x14ac:dyDescent="0.45">
      <c r="A18" s="1">
        <v>17</v>
      </c>
      <c r="B18" s="1" t="s">
        <v>28</v>
      </c>
      <c r="C18" s="1">
        <v>1</v>
      </c>
      <c r="D18" s="1">
        <v>6.4999999999999997E-3</v>
      </c>
      <c r="E18" s="1">
        <v>6.4999999999999997E-3</v>
      </c>
      <c r="F18" s="1">
        <f t="shared" si="0"/>
        <v>0.46149999999999997</v>
      </c>
      <c r="G18" s="1">
        <f t="shared" si="1"/>
        <v>7.1499999999999994E-2</v>
      </c>
      <c r="H18" s="1">
        <f t="shared" si="2"/>
        <v>0.42249999999999999</v>
      </c>
      <c r="I18" s="1">
        <v>71</v>
      </c>
      <c r="J18" s="1">
        <v>11</v>
      </c>
      <c r="K18" s="1">
        <v>65</v>
      </c>
      <c r="L18" s="1"/>
    </row>
    <row r="19" spans="1:12" ht="14.25" x14ac:dyDescent="0.45">
      <c r="A19" s="1">
        <v>18</v>
      </c>
      <c r="B19" s="1" t="s">
        <v>29</v>
      </c>
      <c r="C19" s="1">
        <v>1</v>
      </c>
      <c r="D19" s="1">
        <v>6.4999999999999997E-3</v>
      </c>
      <c r="E19" s="1">
        <v>6.4999999999999997E-3</v>
      </c>
      <c r="F19" s="1">
        <f t="shared" si="0"/>
        <v>0.46149999999999997</v>
      </c>
      <c r="G19" s="1">
        <f t="shared" si="1"/>
        <v>-7.1499999999999994E-2</v>
      </c>
      <c r="H19" s="1">
        <f t="shared" si="2"/>
        <v>0.42249999999999999</v>
      </c>
      <c r="I19" s="1">
        <v>71</v>
      </c>
      <c r="J19" s="1">
        <v>-11</v>
      </c>
      <c r="K19" s="1">
        <v>65</v>
      </c>
      <c r="L19" s="1"/>
    </row>
    <row r="20" spans="1:12" ht="14.25" x14ac:dyDescent="0.45">
      <c r="A20" s="1">
        <v>19</v>
      </c>
      <c r="B20" s="1" t="s">
        <v>30</v>
      </c>
      <c r="C20" s="1">
        <v>1</v>
      </c>
      <c r="D20" s="1">
        <v>6.4999999999999997E-3</v>
      </c>
      <c r="E20" s="1">
        <v>6.4999999999999997E-3</v>
      </c>
      <c r="F20" s="1">
        <f t="shared" si="0"/>
        <v>-0.14949999999999999</v>
      </c>
      <c r="G20" s="1">
        <f t="shared" si="1"/>
        <v>0.38999999999999996</v>
      </c>
      <c r="H20" s="1">
        <f t="shared" si="2"/>
        <v>0.42249999999999999</v>
      </c>
      <c r="I20" s="1">
        <v>-23</v>
      </c>
      <c r="J20" s="1">
        <v>60</v>
      </c>
      <c r="K20" s="1">
        <v>65</v>
      </c>
      <c r="L20" s="1"/>
    </row>
    <row r="21" spans="1:12" ht="14.25" x14ac:dyDescent="0.45">
      <c r="A21" s="1">
        <v>20</v>
      </c>
      <c r="B21" s="1" t="s">
        <v>31</v>
      </c>
      <c r="C21" s="1">
        <v>1</v>
      </c>
      <c r="D21" s="1">
        <v>6.4999999999999997E-3</v>
      </c>
      <c r="E21" s="1">
        <v>6.4999999999999997E-3</v>
      </c>
      <c r="F21" s="1">
        <f t="shared" si="0"/>
        <v>-0.14949999999999999</v>
      </c>
      <c r="G21" s="1">
        <f t="shared" si="1"/>
        <v>-0.38999999999999996</v>
      </c>
      <c r="H21" s="1">
        <f t="shared" si="2"/>
        <v>0.42249999999999999</v>
      </c>
      <c r="I21" s="1">
        <v>-23</v>
      </c>
      <c r="J21" s="1">
        <v>-60</v>
      </c>
      <c r="K21" s="1">
        <v>65</v>
      </c>
      <c r="L21" s="1"/>
    </row>
    <row r="22" spans="1:12" ht="14.25" x14ac:dyDescent="0.45">
      <c r="A22" s="1">
        <v>21</v>
      </c>
      <c r="B22" s="1" t="s">
        <v>32</v>
      </c>
      <c r="C22" s="1">
        <v>1</v>
      </c>
      <c r="D22" s="1">
        <v>6.4999999999999997E-3</v>
      </c>
      <c r="E22" s="1">
        <v>6.4999999999999997E-3</v>
      </c>
      <c r="F22" s="1">
        <f t="shared" si="0"/>
        <v>0.42249999999999999</v>
      </c>
      <c r="G22" s="1">
        <f t="shared" si="1"/>
        <v>0.16250000000000001</v>
      </c>
      <c r="H22" s="1">
        <f t="shared" si="2"/>
        <v>0.71499999999999997</v>
      </c>
      <c r="I22" s="1">
        <v>65</v>
      </c>
      <c r="J22" s="1">
        <v>25</v>
      </c>
      <c r="K22" s="1">
        <v>110</v>
      </c>
      <c r="L22" s="1"/>
    </row>
    <row r="23" spans="1:12" ht="14.25" x14ac:dyDescent="0.45">
      <c r="A23" s="1">
        <v>22</v>
      </c>
      <c r="B23" s="1" t="s">
        <v>33</v>
      </c>
      <c r="C23" s="1">
        <v>1</v>
      </c>
      <c r="D23" s="1">
        <v>6.4999999999999997E-3</v>
      </c>
      <c r="E23" s="1">
        <v>6.4999999999999997E-3</v>
      </c>
      <c r="F23" s="1">
        <f t="shared" si="0"/>
        <v>0.42249999999999999</v>
      </c>
      <c r="G23" s="1">
        <f t="shared" si="1"/>
        <v>-0.16250000000000001</v>
      </c>
      <c r="H23" s="1">
        <f t="shared" si="2"/>
        <v>0.71499999999999997</v>
      </c>
      <c r="I23" s="1">
        <v>65</v>
      </c>
      <c r="J23" s="1">
        <v>-25</v>
      </c>
      <c r="K23" s="1">
        <v>110</v>
      </c>
      <c r="L23" s="1"/>
    </row>
    <row r="24" spans="1:12" ht="14.25" x14ac:dyDescent="0.45">
      <c r="A24" s="1">
        <v>23</v>
      </c>
      <c r="B24" s="1" t="s">
        <v>34</v>
      </c>
      <c r="C24" s="1">
        <v>1</v>
      </c>
      <c r="D24" s="1">
        <v>6.4999999999999997E-3</v>
      </c>
      <c r="E24" s="1">
        <v>6.4999999999999997E-3</v>
      </c>
      <c r="F24" s="1">
        <f t="shared" si="0"/>
        <v>-0.42249999999999999</v>
      </c>
      <c r="G24" s="1">
        <f t="shared" si="1"/>
        <v>0.16250000000000001</v>
      </c>
      <c r="H24" s="1">
        <f t="shared" si="2"/>
        <v>0.71499999999999997</v>
      </c>
      <c r="I24" s="1">
        <v>-65</v>
      </c>
      <c r="J24" s="1">
        <v>25</v>
      </c>
      <c r="K24" s="1">
        <v>110</v>
      </c>
      <c r="L24" s="1"/>
    </row>
    <row r="25" spans="1:12" ht="14.25" x14ac:dyDescent="0.45">
      <c r="A25" s="1">
        <v>24</v>
      </c>
      <c r="B25" s="1" t="s">
        <v>35</v>
      </c>
      <c r="C25" s="1">
        <v>1</v>
      </c>
      <c r="D25" s="1">
        <v>6.4999999999999997E-3</v>
      </c>
      <c r="E25" s="1">
        <v>6.4999999999999997E-3</v>
      </c>
      <c r="F25" s="1">
        <f t="shared" si="0"/>
        <v>0.42249999999999999</v>
      </c>
      <c r="G25" s="1">
        <f t="shared" si="1"/>
        <v>-0.16250000000000001</v>
      </c>
      <c r="H25" s="1">
        <f t="shared" si="2"/>
        <v>0.71499999999999997</v>
      </c>
      <c r="I25" s="1">
        <v>65</v>
      </c>
      <c r="J25" s="1">
        <v>-25</v>
      </c>
      <c r="K25" s="1">
        <v>110</v>
      </c>
      <c r="L25" s="1"/>
    </row>
    <row r="26" spans="1:12" ht="14.25" x14ac:dyDescent="0.45">
      <c r="A26" s="1">
        <v>25</v>
      </c>
      <c r="B26" s="1" t="s">
        <v>36</v>
      </c>
      <c r="C26" s="1">
        <v>1</v>
      </c>
      <c r="D26" s="1">
        <v>6.4999999999999997E-3</v>
      </c>
      <c r="E26" s="1">
        <v>6.4999999999999997E-3</v>
      </c>
      <c r="F26" s="1">
        <f t="shared" si="0"/>
        <v>0.16250000000000001</v>
      </c>
      <c r="G26" s="1">
        <f t="shared" si="1"/>
        <v>0.46149999999999997</v>
      </c>
      <c r="H26" s="1">
        <f t="shared" si="2"/>
        <v>0.71499999999999997</v>
      </c>
      <c r="I26" s="1">
        <v>25</v>
      </c>
      <c r="J26" s="1">
        <v>71</v>
      </c>
      <c r="K26" s="1">
        <v>110</v>
      </c>
      <c r="L26" s="1"/>
    </row>
    <row r="27" spans="1:12" ht="14.25" x14ac:dyDescent="0.45">
      <c r="A27" s="1">
        <v>26</v>
      </c>
      <c r="B27" s="1" t="s">
        <v>37</v>
      </c>
      <c r="C27" s="1">
        <v>1</v>
      </c>
      <c r="D27" s="1">
        <v>6.4999999999999997E-3</v>
      </c>
      <c r="E27" s="1">
        <v>6.4999999999999997E-3</v>
      </c>
      <c r="F27" s="1">
        <f t="shared" si="0"/>
        <v>0.16250000000000001</v>
      </c>
      <c r="G27" s="1">
        <f t="shared" si="1"/>
        <v>-0.46149999999999997</v>
      </c>
      <c r="H27" s="1">
        <f t="shared" si="2"/>
        <v>0.71499999999999997</v>
      </c>
      <c r="I27" s="1">
        <v>25</v>
      </c>
      <c r="J27" s="1">
        <v>-71</v>
      </c>
      <c r="K27" s="1">
        <v>110</v>
      </c>
      <c r="L27" s="1"/>
    </row>
    <row r="28" spans="1:12" ht="14.25" x14ac:dyDescent="0.45">
      <c r="A28" s="1">
        <v>27</v>
      </c>
      <c r="B28" s="1" t="s">
        <v>38</v>
      </c>
      <c r="C28" s="1">
        <v>1</v>
      </c>
      <c r="D28" s="1">
        <v>4.9399999999999999E-3</v>
      </c>
      <c r="E28" s="1">
        <v>4.9399999999999999E-3</v>
      </c>
      <c r="F28" s="1">
        <f t="shared" ref="F28:F37" si="3">PRODUCT(D28,I28)</f>
        <v>0.3211</v>
      </c>
      <c r="G28" s="1">
        <f t="shared" ref="G28:G37" si="4">PRODUCT(J28,D28)</f>
        <v>0.1235</v>
      </c>
      <c r="H28" s="1">
        <f t="shared" ref="H28:H37" si="5">PRODUCT(K28,E28)</f>
        <v>0.83979999999999999</v>
      </c>
      <c r="I28" s="1">
        <v>65</v>
      </c>
      <c r="J28" s="1">
        <v>25</v>
      </c>
      <c r="K28" s="1">
        <v>170</v>
      </c>
      <c r="L28" s="1"/>
    </row>
    <row r="29" spans="1:12" ht="14.25" x14ac:dyDescent="0.45">
      <c r="A29" s="1">
        <v>28</v>
      </c>
      <c r="B29" s="1" t="s">
        <v>39</v>
      </c>
      <c r="C29" s="1">
        <v>1</v>
      </c>
      <c r="D29" s="1">
        <v>6.4999999999999997E-3</v>
      </c>
      <c r="E29" s="1">
        <v>6.4999999999999997E-3</v>
      </c>
      <c r="F29" s="1">
        <f t="shared" si="3"/>
        <v>0.42249999999999999</v>
      </c>
      <c r="G29" s="1">
        <f t="shared" si="4"/>
        <v>0.16250000000000001</v>
      </c>
      <c r="H29" s="1">
        <f t="shared" si="5"/>
        <v>1.0075000000000001</v>
      </c>
      <c r="I29" s="1">
        <v>65</v>
      </c>
      <c r="J29" s="1">
        <v>25</v>
      </c>
      <c r="K29" s="1">
        <v>155</v>
      </c>
      <c r="L29" s="1"/>
    </row>
    <row r="30" spans="1:12" ht="14.25" x14ac:dyDescent="0.45">
      <c r="A30" s="1">
        <v>29</v>
      </c>
      <c r="B30" s="1" t="s">
        <v>40</v>
      </c>
      <c r="C30" s="1">
        <v>1</v>
      </c>
      <c r="D30" s="1">
        <v>4.9399999999999999E-3</v>
      </c>
      <c r="E30" s="1">
        <v>4.9399999999999999E-3</v>
      </c>
      <c r="F30" s="1">
        <f t="shared" si="3"/>
        <v>0.3211</v>
      </c>
      <c r="G30" s="1">
        <f t="shared" si="4"/>
        <v>-0.1235</v>
      </c>
      <c r="H30" s="1">
        <f t="shared" si="5"/>
        <v>0.83979999999999999</v>
      </c>
      <c r="I30" s="1">
        <v>65</v>
      </c>
      <c r="J30" s="1">
        <v>-25</v>
      </c>
      <c r="K30" s="1">
        <v>170</v>
      </c>
      <c r="L30" s="1"/>
    </row>
    <row r="31" spans="1:12" ht="14.25" x14ac:dyDescent="0.45">
      <c r="A31" s="1">
        <v>30</v>
      </c>
      <c r="B31" s="1" t="s">
        <v>41</v>
      </c>
      <c r="C31" s="1">
        <v>1</v>
      </c>
      <c r="D31" s="1">
        <v>6.4999999999999997E-3</v>
      </c>
      <c r="E31" s="1">
        <v>6.4999999999999997E-3</v>
      </c>
      <c r="F31" s="1">
        <f t="shared" si="3"/>
        <v>0.42249999999999999</v>
      </c>
      <c r="G31" s="1">
        <f t="shared" si="4"/>
        <v>-0.16250000000000001</v>
      </c>
      <c r="H31" s="1">
        <f t="shared" si="5"/>
        <v>1.0075000000000001</v>
      </c>
      <c r="I31" s="1">
        <v>65</v>
      </c>
      <c r="J31" s="1">
        <v>-25</v>
      </c>
      <c r="K31" s="1">
        <v>155</v>
      </c>
      <c r="L31" s="1"/>
    </row>
    <row r="32" spans="1:12" ht="14.25" x14ac:dyDescent="0.45">
      <c r="A32" s="1">
        <v>31</v>
      </c>
      <c r="B32" s="1" t="s">
        <v>42</v>
      </c>
      <c r="C32" s="1">
        <v>1</v>
      </c>
      <c r="D32" s="1">
        <v>4.9399999999999999E-3</v>
      </c>
      <c r="E32" s="1">
        <v>4.9399999999999999E-3</v>
      </c>
      <c r="F32" s="1">
        <f t="shared" si="3"/>
        <v>-0.3211</v>
      </c>
      <c r="G32" s="1">
        <f t="shared" si="4"/>
        <v>0.1235</v>
      </c>
      <c r="H32" s="1">
        <f t="shared" si="5"/>
        <v>0.83979999999999999</v>
      </c>
      <c r="I32" s="1">
        <v>-65</v>
      </c>
      <c r="J32" s="1">
        <v>25</v>
      </c>
      <c r="K32" s="1">
        <v>170</v>
      </c>
      <c r="L32" s="1"/>
    </row>
    <row r="33" spans="1:12" ht="14.25" x14ac:dyDescent="0.45">
      <c r="A33" s="1">
        <v>32</v>
      </c>
      <c r="B33" s="1" t="s">
        <v>43</v>
      </c>
      <c r="C33" s="1">
        <v>1</v>
      </c>
      <c r="D33" s="1">
        <v>6.4999999999999997E-3</v>
      </c>
      <c r="E33" s="1">
        <v>6.4999999999999997E-3</v>
      </c>
      <c r="F33" s="1">
        <f t="shared" si="3"/>
        <v>-0.42249999999999999</v>
      </c>
      <c r="G33" s="1">
        <f t="shared" si="4"/>
        <v>0.16250000000000001</v>
      </c>
      <c r="H33" s="1">
        <f t="shared" si="5"/>
        <v>1.0075000000000001</v>
      </c>
      <c r="I33" s="1">
        <v>-65</v>
      </c>
      <c r="J33" s="1">
        <v>25</v>
      </c>
      <c r="K33" s="1">
        <v>155</v>
      </c>
      <c r="L33" s="1"/>
    </row>
    <row r="34" spans="1:12" ht="14.25" x14ac:dyDescent="0.45">
      <c r="A34" s="1">
        <v>33</v>
      </c>
      <c r="B34" s="1" t="s">
        <v>44</v>
      </c>
      <c r="C34" s="1">
        <v>1</v>
      </c>
      <c r="D34" s="1">
        <v>4.9399999999999999E-3</v>
      </c>
      <c r="E34" s="1">
        <v>4.9399999999999999E-3</v>
      </c>
      <c r="F34" s="1">
        <f t="shared" si="3"/>
        <v>0.3211</v>
      </c>
      <c r="G34" s="1">
        <f t="shared" si="4"/>
        <v>-0.1235</v>
      </c>
      <c r="H34" s="1">
        <f t="shared" si="5"/>
        <v>0.83979999999999999</v>
      </c>
      <c r="I34" s="1">
        <v>65</v>
      </c>
      <c r="J34" s="1">
        <v>-25</v>
      </c>
      <c r="K34" s="1">
        <v>170</v>
      </c>
      <c r="L34" s="1"/>
    </row>
    <row r="35" spans="1:12" ht="14.25" x14ac:dyDescent="0.45">
      <c r="A35" s="1">
        <v>34</v>
      </c>
      <c r="B35" s="1" t="s">
        <v>45</v>
      </c>
      <c r="C35" s="1">
        <v>1</v>
      </c>
      <c r="D35" s="1">
        <v>6.4999999999999997E-3</v>
      </c>
      <c r="E35" s="1">
        <v>6.4999999999999997E-3</v>
      </c>
      <c r="F35" s="1">
        <f t="shared" si="3"/>
        <v>0.42249999999999999</v>
      </c>
      <c r="G35" s="1">
        <f t="shared" si="4"/>
        <v>-0.16250000000000001</v>
      </c>
      <c r="H35" s="1">
        <f t="shared" si="5"/>
        <v>1.0075000000000001</v>
      </c>
      <c r="I35" s="1">
        <v>65</v>
      </c>
      <c r="J35" s="1">
        <v>-25</v>
      </c>
      <c r="K35" s="1">
        <v>155</v>
      </c>
      <c r="L35" s="1"/>
    </row>
    <row r="36" spans="1:12" ht="14.25" x14ac:dyDescent="0.45">
      <c r="A36" s="1">
        <v>35</v>
      </c>
      <c r="B36" s="1" t="s">
        <v>68</v>
      </c>
      <c r="C36" s="1">
        <v>1</v>
      </c>
      <c r="D36" s="1">
        <v>5.0000000000000001E-3</v>
      </c>
      <c r="E36" s="1">
        <v>5.0000000000000001E-3</v>
      </c>
      <c r="F36" s="1">
        <f t="shared" si="3"/>
        <v>0</v>
      </c>
      <c r="G36" s="1">
        <v>0</v>
      </c>
      <c r="H36" s="1">
        <f t="shared" si="5"/>
        <v>0.47000000000000003</v>
      </c>
      <c r="I36" s="1">
        <v>0</v>
      </c>
      <c r="J36" s="1">
        <v>0</v>
      </c>
      <c r="K36" s="1">
        <v>94</v>
      </c>
      <c r="L36" s="1"/>
    </row>
    <row r="37" spans="1:12" ht="22.5" customHeight="1" x14ac:dyDescent="0.45">
      <c r="A37" s="1">
        <v>36</v>
      </c>
      <c r="B37" s="1" t="s">
        <v>69</v>
      </c>
      <c r="C37" s="1">
        <v>1</v>
      </c>
      <c r="D37" s="1">
        <v>5.0000000000000001E-3</v>
      </c>
      <c r="E37" s="1">
        <v>5.0000000000000001E-3</v>
      </c>
      <c r="F37" s="1">
        <f t="shared" si="3"/>
        <v>0.40500000000000003</v>
      </c>
      <c r="G37" s="1">
        <v>0</v>
      </c>
      <c r="H37" s="1">
        <f t="shared" si="5"/>
        <v>0.55100000000000005</v>
      </c>
      <c r="I37" s="1">
        <v>81</v>
      </c>
      <c r="J37" s="1">
        <v>0</v>
      </c>
      <c r="K37" s="1">
        <v>110.2</v>
      </c>
      <c r="L37" s="1"/>
    </row>
    <row r="38" spans="1:12" ht="14.25" x14ac:dyDescent="0.45">
      <c r="A38" s="1">
        <v>37</v>
      </c>
      <c r="B38" s="1" t="s">
        <v>46</v>
      </c>
      <c r="C38" s="1">
        <v>1</v>
      </c>
      <c r="D38" s="1">
        <v>4.9199999999999999E-3</v>
      </c>
      <c r="E38" s="1">
        <v>4.9199999999999999E-3</v>
      </c>
      <c r="F38" s="1">
        <f>PRODUCT(D38,I38)</f>
        <v>0.49199999999999999</v>
      </c>
      <c r="G38" s="1">
        <f>PRODUCT(J38,D38)</f>
        <v>0</v>
      </c>
      <c r="H38" s="1">
        <f>PRODUCT(K38,E38)</f>
        <v>0.168264</v>
      </c>
      <c r="I38" s="1">
        <v>100</v>
      </c>
      <c r="J38" s="1">
        <v>0</v>
      </c>
      <c r="K38" s="1">
        <v>34.200000000000003</v>
      </c>
      <c r="L38" s="1"/>
    </row>
    <row r="39" spans="1:12" ht="14.25" x14ac:dyDescent="0.45">
      <c r="A39" s="1">
        <v>38</v>
      </c>
      <c r="B39" s="1" t="s">
        <v>47</v>
      </c>
      <c r="C39" s="1">
        <v>1</v>
      </c>
      <c r="D39" s="1">
        <v>1.2999999999999999E-2</v>
      </c>
      <c r="E39" s="1">
        <v>1.2999999999999999E-2</v>
      </c>
      <c r="F39" s="1">
        <f t="shared" ref="F39:F44" si="6">PRODUCT(D39,I39)</f>
        <v>0.33799999999999997</v>
      </c>
      <c r="G39" s="1">
        <f t="shared" ref="G39:G44" si="7">PRODUCT(J39,D39)</f>
        <v>0.52</v>
      </c>
      <c r="H39" s="1">
        <f t="shared" ref="H39:H44" si="8">PRODUCT(K39,E39)</f>
        <v>2.145</v>
      </c>
      <c r="I39" s="1">
        <v>26</v>
      </c>
      <c r="J39" s="1">
        <v>40</v>
      </c>
      <c r="K39" s="1">
        <v>165</v>
      </c>
      <c r="L39" s="1"/>
    </row>
    <row r="40" spans="1:12" ht="14.25" x14ac:dyDescent="0.45">
      <c r="A40" s="1">
        <v>39</v>
      </c>
      <c r="B40" s="1" t="s">
        <v>48</v>
      </c>
      <c r="C40" s="1">
        <v>1</v>
      </c>
      <c r="D40" s="1">
        <v>1.2999999999999999E-2</v>
      </c>
      <c r="E40" s="1">
        <v>1.2999999999999999E-2</v>
      </c>
      <c r="F40" s="1">
        <f t="shared" si="6"/>
        <v>2.5999999999999999E-2</v>
      </c>
      <c r="G40" s="1">
        <f t="shared" si="7"/>
        <v>0.32500000000000001</v>
      </c>
      <c r="H40" s="1">
        <f t="shared" si="8"/>
        <v>2.145</v>
      </c>
      <c r="I40" s="1">
        <v>2</v>
      </c>
      <c r="J40" s="1">
        <v>25</v>
      </c>
      <c r="K40" s="1">
        <v>165</v>
      </c>
      <c r="L40" s="1"/>
    </row>
    <row r="41" spans="1:12" ht="14.25" x14ac:dyDescent="0.45">
      <c r="A41" s="1">
        <v>40</v>
      </c>
      <c r="B41" s="1" t="s">
        <v>49</v>
      </c>
      <c r="C41" s="1">
        <v>1</v>
      </c>
      <c r="D41" s="1">
        <v>0.02</v>
      </c>
      <c r="E41" s="1">
        <v>0.02</v>
      </c>
      <c r="F41" s="1">
        <f t="shared" si="6"/>
        <v>-1.42</v>
      </c>
      <c r="G41" s="1">
        <f t="shared" si="7"/>
        <v>-1.06</v>
      </c>
      <c r="H41" s="1">
        <f t="shared" si="8"/>
        <v>3.3200000000000003</v>
      </c>
      <c r="I41" s="1">
        <v>-71</v>
      </c>
      <c r="J41" s="1">
        <v>-53</v>
      </c>
      <c r="K41" s="1">
        <v>166</v>
      </c>
      <c r="L41" s="1"/>
    </row>
    <row r="42" spans="1:12" ht="14.25" x14ac:dyDescent="0.45">
      <c r="A42" s="1">
        <v>41</v>
      </c>
      <c r="B42" s="1" t="s">
        <v>50</v>
      </c>
      <c r="C42" s="1">
        <v>1</v>
      </c>
      <c r="D42" s="1">
        <v>0.01</v>
      </c>
      <c r="E42" s="1">
        <v>0.01</v>
      </c>
      <c r="F42" s="1">
        <f t="shared" si="6"/>
        <v>0.15</v>
      </c>
      <c r="G42" s="1">
        <f t="shared" si="7"/>
        <v>0</v>
      </c>
      <c r="H42" s="1">
        <f t="shared" si="8"/>
        <v>1.48</v>
      </c>
      <c r="I42" s="1">
        <v>15</v>
      </c>
      <c r="J42" s="1">
        <v>0</v>
      </c>
      <c r="K42" s="1">
        <v>148</v>
      </c>
      <c r="L42" s="1"/>
    </row>
    <row r="43" spans="1:12" ht="14.25" x14ac:dyDescent="0.45">
      <c r="A43" s="1">
        <v>42</v>
      </c>
      <c r="B43" s="1" t="s">
        <v>51</v>
      </c>
      <c r="C43" s="1">
        <v>1</v>
      </c>
      <c r="D43" s="1">
        <v>0.01</v>
      </c>
      <c r="E43" s="1">
        <v>0.01</v>
      </c>
      <c r="F43" s="1">
        <f t="shared" si="6"/>
        <v>0.61</v>
      </c>
      <c r="G43" s="1">
        <f t="shared" si="7"/>
        <v>0</v>
      </c>
      <c r="H43" s="1">
        <f t="shared" si="8"/>
        <v>1.47</v>
      </c>
      <c r="I43" s="1">
        <v>61</v>
      </c>
      <c r="J43" s="1">
        <v>0</v>
      </c>
      <c r="K43" s="1">
        <v>147</v>
      </c>
      <c r="L43" s="1"/>
    </row>
    <row r="44" spans="1:12" ht="14.25" x14ac:dyDescent="0.45">
      <c r="A44" s="1">
        <v>43</v>
      </c>
      <c r="B44" s="1" t="s">
        <v>52</v>
      </c>
      <c r="C44" s="1">
        <v>1</v>
      </c>
      <c r="D44" s="1">
        <v>9.9000000000000005E-2</v>
      </c>
      <c r="E44" s="1">
        <v>9.9000000000000005E-2</v>
      </c>
      <c r="F44" s="1">
        <f t="shared" si="6"/>
        <v>0</v>
      </c>
      <c r="G44" s="1">
        <f t="shared" si="7"/>
        <v>0</v>
      </c>
      <c r="H44" s="1">
        <f t="shared" si="8"/>
        <v>20.888999999999999</v>
      </c>
      <c r="I44" s="1">
        <v>0</v>
      </c>
      <c r="J44" s="1">
        <v>0</v>
      </c>
      <c r="K44" s="1">
        <v>211</v>
      </c>
      <c r="L44" s="1"/>
    </row>
    <row r="45" spans="1:12" ht="14.25" x14ac:dyDescent="0.45">
      <c r="A45" s="1" t="s">
        <v>53</v>
      </c>
      <c r="B45" s="1" t="s">
        <v>54</v>
      </c>
      <c r="C45" s="1">
        <v>1</v>
      </c>
      <c r="D45" s="1"/>
      <c r="E45" s="1">
        <f>SUM(E2:E44)</f>
        <v>1.2538399999999985</v>
      </c>
      <c r="F45" s="1"/>
      <c r="G45" s="1"/>
      <c r="H45" s="1"/>
      <c r="I45" s="1"/>
      <c r="J45" s="1"/>
      <c r="K45" s="1"/>
      <c r="L45" s="1"/>
    </row>
    <row r="46" spans="1:12" ht="14.25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4.25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4.25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4.25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4.25" x14ac:dyDescent="0.45">
      <c r="A50" s="1"/>
      <c r="B50" s="1"/>
      <c r="C50" s="1"/>
      <c r="D50" s="1"/>
      <c r="E50" s="1"/>
      <c r="F50" s="1" t="s">
        <v>8</v>
      </c>
      <c r="G50" s="1" t="s">
        <v>9</v>
      </c>
      <c r="H50" s="1" t="s">
        <v>10</v>
      </c>
      <c r="I50" s="1"/>
      <c r="J50" s="1"/>
      <c r="K50" s="1"/>
      <c r="L50" s="1"/>
    </row>
    <row r="51" spans="1:12" ht="14.25" x14ac:dyDescent="0.45">
      <c r="B51" s="1" t="s">
        <v>55</v>
      </c>
      <c r="C51" t="s">
        <v>56</v>
      </c>
      <c r="E51" t="s">
        <v>57</v>
      </c>
      <c r="F51">
        <f>SUM(F2:F44)</f>
        <v>7.5842000000000018</v>
      </c>
      <c r="G51">
        <f>SUM(G2:G44)</f>
        <v>0.70500000000000029</v>
      </c>
      <c r="H51">
        <f>SUM(H2:H44)</f>
        <v>115.63196399999998</v>
      </c>
    </row>
    <row r="52" spans="1:12" ht="14.25" x14ac:dyDescent="0.45">
      <c r="B52" s="1" t="s">
        <v>58</v>
      </c>
      <c r="C52" t="s">
        <v>59</v>
      </c>
    </row>
    <row r="53" spans="1:12" ht="14.25" x14ac:dyDescent="0.45">
      <c r="B53" s="1" t="s">
        <v>60</v>
      </c>
      <c r="C53" t="s">
        <v>61</v>
      </c>
    </row>
    <row r="54" spans="1:12" ht="14.25" x14ac:dyDescent="0.45">
      <c r="B54" t="s">
        <v>62</v>
      </c>
      <c r="C54" t="s">
        <v>63</v>
      </c>
    </row>
    <row r="55" spans="1:12" ht="14.25" x14ac:dyDescent="0.45">
      <c r="B55" t="s">
        <v>64</v>
      </c>
      <c r="C55" t="s">
        <v>65</v>
      </c>
    </row>
    <row r="56" spans="1:12" ht="14.25" x14ac:dyDescent="0.45">
      <c r="B56" t="s">
        <v>66</v>
      </c>
      <c r="C56" t="s">
        <v>67</v>
      </c>
    </row>
    <row r="57" spans="1:12" ht="14.25" x14ac:dyDescent="0.45"/>
    <row r="58" spans="1:12" ht="14.25" x14ac:dyDescent="0.45"/>
    <row r="59" spans="1:12" ht="14.25" x14ac:dyDescent="0.4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Viswanathan Sahanaa</dc:creator>
  <cp:keywords/>
  <dc:description/>
  <cp:lastModifiedBy>Layog Ethan Andrei Belo</cp:lastModifiedBy>
  <cp:revision/>
  <cp:lastPrinted>2026-03-26T16:08:48Z</cp:lastPrinted>
  <dcterms:created xsi:type="dcterms:W3CDTF">2026-02-19T11:46:51Z</dcterms:created>
  <dcterms:modified xsi:type="dcterms:W3CDTF">2026-04-19T12:45:15Z</dcterms:modified>
  <cp:category/>
  <cp:contentStatus/>
</cp:coreProperties>
</file>